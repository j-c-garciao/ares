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9e4ce3cf3cb4827/Documentos/GitHub/ares/Examples/Example8/p-graph/2.-Bicentenario/"/>
    </mc:Choice>
  </mc:AlternateContent>
  <xr:revisionPtr revIDLastSave="4" documentId="13_ncr:1_{A59C2D5D-DEF5-4146-B631-E79061B32393}" xr6:coauthVersionLast="47" xr6:coauthVersionMax="47" xr10:uidLastSave="{9B09F86C-A8BB-4018-A5C6-BB3919ED8412}"/>
  <bookViews>
    <workbookView xWindow="-110" yWindow="-110" windowWidth="19420" windowHeight="10300" activeTab="2" xr2:uid="{00000000-000D-0000-FFFF-FFFF00000000}"/>
  </bookViews>
  <sheets>
    <sheet name="Source(s)" sheetId="1" r:id="rId1"/>
    <sheet name="Sink(s)" sheetId="2" r:id="rId2"/>
    <sheet name="Pipe(s)" sheetId="3" r:id="rId3"/>
  </sheets>
  <definedNames>
    <definedName name="_xlnm._FilterDatabase" localSheetId="2" hidden="1">'Pipe(s)'!$A$1:$J$63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2" i="3" l="1"/>
  <c r="G28" i="3"/>
  <c r="G27" i="3"/>
  <c r="C5" i="3"/>
  <c r="J61" i="3"/>
  <c r="J62" i="3" s="1"/>
  <c r="G29" i="3"/>
  <c r="C3" i="3"/>
  <c r="C4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30" i="3"/>
  <c r="C31" i="3"/>
  <c r="C32" i="3"/>
  <c r="C33" i="3"/>
  <c r="C34" i="3"/>
  <c r="C36" i="3"/>
  <c r="C35" i="3"/>
  <c r="C37" i="3"/>
  <c r="C38" i="3"/>
  <c r="C39" i="3"/>
  <c r="C40" i="3"/>
  <c r="C41" i="3"/>
  <c r="C42" i="3"/>
  <c r="C43" i="3"/>
  <c r="C44" i="3"/>
  <c r="C45" i="3"/>
  <c r="C46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2" i="3"/>
  <c r="G41" i="3"/>
  <c r="G14" i="3"/>
  <c r="G23" i="3"/>
  <c r="G25" i="3"/>
  <c r="G13" i="3"/>
  <c r="G18" i="3"/>
  <c r="G12" i="3"/>
  <c r="G21" i="3"/>
  <c r="G19" i="3"/>
  <c r="G38" i="3"/>
  <c r="G37" i="3"/>
  <c r="G43" i="3"/>
  <c r="G58" i="3"/>
  <c r="G57" i="3"/>
  <c r="G60" i="3"/>
  <c r="G59" i="3"/>
  <c r="G9" i="3"/>
  <c r="G4" i="3"/>
  <c r="G10" i="3"/>
  <c r="G16" i="3"/>
  <c r="G17" i="3"/>
  <c r="G20" i="3"/>
  <c r="G55" i="3"/>
  <c r="G53" i="3"/>
  <c r="G56" i="3"/>
  <c r="G22" i="3"/>
  <c r="G54" i="3"/>
  <c r="G50" i="3"/>
  <c r="D47" i="3"/>
  <c r="G47" i="3" s="1"/>
  <c r="G45" i="3"/>
  <c r="G44" i="3"/>
  <c r="G24" i="3"/>
  <c r="G36" i="3"/>
  <c r="G40" i="3"/>
  <c r="G34" i="3"/>
  <c r="G39" i="3"/>
  <c r="G31" i="3"/>
  <c r="G26" i="3"/>
  <c r="G32" i="3"/>
  <c r="G42" i="3"/>
  <c r="G52" i="3"/>
  <c r="G49" i="3"/>
  <c r="G48" i="3"/>
  <c r="G33" i="3"/>
  <c r="G30" i="3"/>
  <c r="G6" i="3"/>
  <c r="G5" i="3"/>
  <c r="G15" i="3"/>
  <c r="G7" i="3"/>
  <c r="G3" i="3"/>
  <c r="G8" i="3"/>
  <c r="G35" i="3"/>
  <c r="G46" i="3"/>
  <c r="G11" i="3"/>
  <c r="G51" i="3"/>
  <c r="G2" i="3"/>
  <c r="C47" i="3" l="1"/>
</calcChain>
</file>

<file path=xl/sharedStrings.xml><?xml version="1.0" encoding="utf-8"?>
<sst xmlns="http://schemas.openxmlformats.org/spreadsheetml/2006/main" count="193" uniqueCount="92">
  <si>
    <t>Node(s)</t>
  </si>
  <si>
    <t>From(i)</t>
  </si>
  <si>
    <t>To(i)</t>
  </si>
  <si>
    <t>Q</t>
  </si>
  <si>
    <t>C</t>
  </si>
  <si>
    <t>n</t>
  </si>
  <si>
    <t>S</t>
  </si>
  <si>
    <t>D</t>
  </si>
  <si>
    <t>R</t>
  </si>
  <si>
    <t>M</t>
  </si>
  <si>
    <t>N</t>
  </si>
  <si>
    <t>K</t>
  </si>
  <si>
    <t>L</t>
  </si>
  <si>
    <t>F</t>
  </si>
  <si>
    <t>I</t>
  </si>
  <si>
    <t>A</t>
  </si>
  <si>
    <t>B</t>
  </si>
  <si>
    <t>E</t>
  </si>
  <si>
    <t>H</t>
  </si>
  <si>
    <t>G</t>
  </si>
  <si>
    <t>J</t>
  </si>
  <si>
    <t>O</t>
  </si>
  <si>
    <t>P</t>
  </si>
  <si>
    <t>OK</t>
  </si>
  <si>
    <t>PIPES</t>
  </si>
  <si>
    <t>P1</t>
  </si>
  <si>
    <t>P3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</si>
  <si>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</si>
  <si>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</si>
  <si>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</si>
  <si>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</si>
  <si>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</si>
  <si>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</si>
  <si>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</si>
  <si>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</si>
  <si>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</si>
  <si>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</si>
  <si>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P2</t>
  </si>
  <si>
    <t>P4</t>
  </si>
  <si>
    <t>PIPE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</si>
  <si>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</si>
  <si>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</si>
  <si>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</si>
  <si>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</si>
  <si>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</si>
  <si>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</si>
  <si>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</si>
  <si>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</si>
  <si>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</si>
  <si>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</si>
  <si>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P31</t>
  </si>
  <si>
    <t>P29</t>
  </si>
  <si>
    <t>P30</t>
  </si>
  <si>
    <t>P25</t>
  </si>
  <si>
    <t>P26</t>
  </si>
  <si>
    <t>P27</t>
  </si>
  <si>
    <t>P28</t>
  </si>
  <si>
    <t>P32</t>
  </si>
  <si>
    <t>P33</t>
  </si>
  <si>
    <t>P43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</si>
  <si>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</si>
  <si>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</si>
  <si>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</si>
  <si>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</si>
  <si>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</si>
  <si>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</si>
  <si>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</si>
  <si>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</si>
  <si>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</si>
  <si>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</si>
  <si>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</si>
  <si>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</si>
  <si>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</si>
  <si>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</si>
  <si>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</si>
  <si>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</si>
  <si>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</si>
  <si>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</si>
  <si>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</si>
  <si>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</si>
  <si>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</si>
  <si>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</si>
  <si>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</si>
  <si>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</si>
  <si>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Lenght (m)</t>
  </si>
  <si>
    <t>**</t>
  </si>
  <si>
    <t>⌀ (in)</t>
  </si>
  <si>
    <t>⌀ (m)</t>
  </si>
  <si>
    <t>***</t>
  </si>
  <si>
    <t>P59</t>
  </si>
  <si>
    <t>Source:</t>
  </si>
  <si>
    <t>https://seguimientopot.cartagena.gov.co/macroproyecto-ciudad-bicentenario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</si>
</sst>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2" fontId="0" fillId="0" borderId="0" xfId="0" applyNumberFormat="1"/>
    <xf numFmtId="0" fontId="0" fillId="2" borderId="0" xfId="0" applyFill="1" applyAlignment="1">
      <alignment horizontal="right"/>
    </xf>
    <xf numFmtId="0" fontId="0" fillId="2" borderId="0" xfId="0" applyFill="1"/>
    <xf numFmtId="2" fontId="0" fillId="2" borderId="0" xfId="0" applyNumberFormat="1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>
      <selection activeCell="A9" sqref="A2:A9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>
        <v>1</v>
      </c>
    </row>
    <row r="3" spans="1:1" x14ac:dyDescent="0.35">
      <c r="A3">
        <v>6</v>
      </c>
    </row>
    <row r="4" spans="1:1" x14ac:dyDescent="0.35">
      <c r="A4">
        <v>9</v>
      </c>
    </row>
    <row r="5" spans="1:1" x14ac:dyDescent="0.35">
      <c r="A5">
        <v>17</v>
      </c>
    </row>
    <row r="6" spans="1:1" x14ac:dyDescent="0.35">
      <c r="A6">
        <v>18</v>
      </c>
    </row>
    <row r="7" spans="1:1" x14ac:dyDescent="0.35">
      <c r="A7">
        <v>19</v>
      </c>
    </row>
    <row r="8" spans="1:1" x14ac:dyDescent="0.35">
      <c r="A8">
        <v>20</v>
      </c>
    </row>
    <row r="9" spans="1:1" x14ac:dyDescent="0.35">
      <c r="A9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88A44-C4E3-4453-9CCA-9D3FD5C9352F}">
  <dimension ref="A1:A2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9A5A2-BEB6-447D-BB27-5088DBA40EEB}">
  <dimension ref="A1:K65"/>
  <sheetViews>
    <sheetView tabSelected="1" workbookViewId="0">
      <selection activeCell="B65" sqref="B65:K65"/>
    </sheetView>
  </sheetViews>
  <sheetFormatPr defaultRowHeight="14.5" x14ac:dyDescent="0.35"/>
  <cols>
    <col min="1" max="3" width="8.7265625" style="2"/>
  </cols>
  <sheetData>
    <row r="1" spans="1:11" x14ac:dyDescent="0.35">
      <c r="A1" s="2" t="s">
        <v>1</v>
      </c>
      <c r="B1" s="2" t="s">
        <v>2</v>
      </c>
      <c r="C1" t="s">
        <v>86</v>
      </c>
      <c r="D1" t="s">
        <v>87</v>
      </c>
      <c r="E1" t="s">
        <v>5</v>
      </c>
      <c r="F1" t="s">
        <v>6</v>
      </c>
      <c r="G1" s="1" t="s">
        <v>3</v>
      </c>
      <c r="H1" t="s">
        <v>23</v>
      </c>
      <c r="I1" t="s">
        <v>39</v>
      </c>
      <c r="J1" t="s">
        <v>84</v>
      </c>
    </row>
    <row r="2" spans="1:11" x14ac:dyDescent="0.35">
      <c r="A2" s="2">
        <v>1</v>
      </c>
      <c r="B2" s="2" t="s">
        <v>4</v>
      </c>
      <c r="C2" s="2">
        <f>D2/0.254*10</f>
        <v>10</v>
      </c>
      <c r="D2">
        <v>0.254</v>
      </c>
      <c r="E2">
        <v>1.4999999999999999E-2</v>
      </c>
      <c r="F2">
        <v>0.01</v>
      </c>
      <c r="G2" s="3">
        <f t="shared" ref="G2:G34" si="0">(1/E2) * (PI()*(D2^2)/4) * ((D2/4)^(2/3)) * (F2^(1/2))</f>
        <v>5.3766925794931711E-2</v>
      </c>
      <c r="H2" t="s">
        <v>23</v>
      </c>
      <c r="I2" t="s">
        <v>25</v>
      </c>
      <c r="J2">
        <v>1149.04</v>
      </c>
      <c r="K2" t="s">
        <v>88</v>
      </c>
    </row>
    <row r="3" spans="1:11" x14ac:dyDescent="0.35">
      <c r="A3" s="2">
        <v>7</v>
      </c>
      <c r="B3" s="2" t="s">
        <v>10</v>
      </c>
      <c r="C3" s="2">
        <f t="shared" ref="C3:C60" si="1">D3/0.254*10</f>
        <v>12</v>
      </c>
      <c r="D3">
        <v>0.30480000000000002</v>
      </c>
      <c r="E3">
        <v>1.4999999999999999E-2</v>
      </c>
      <c r="F3">
        <v>0.01</v>
      </c>
      <c r="G3" s="3">
        <f t="shared" si="0"/>
        <v>8.7430949571231584E-2</v>
      </c>
      <c r="H3" t="s">
        <v>23</v>
      </c>
      <c r="I3" t="s">
        <v>32</v>
      </c>
      <c r="J3">
        <v>244.42</v>
      </c>
    </row>
    <row r="4" spans="1:11" x14ac:dyDescent="0.35">
      <c r="A4" s="2" t="s">
        <v>10</v>
      </c>
      <c r="B4" s="2">
        <v>5</v>
      </c>
      <c r="C4" s="2">
        <f t="shared" si="1"/>
        <v>14.000000000000002</v>
      </c>
      <c r="D4">
        <v>0.35560000000000003</v>
      </c>
      <c r="E4">
        <v>1.4999999999999999E-2</v>
      </c>
      <c r="F4">
        <v>0.01</v>
      </c>
      <c r="G4" s="3">
        <f t="shared" si="0"/>
        <v>0.13188334918801561</v>
      </c>
      <c r="H4" t="s">
        <v>23</v>
      </c>
      <c r="I4" t="s">
        <v>33</v>
      </c>
      <c r="J4">
        <v>236.57</v>
      </c>
    </row>
    <row r="5" spans="1:11" x14ac:dyDescent="0.35">
      <c r="A5" s="2">
        <v>9</v>
      </c>
      <c r="B5" s="2">
        <v>8</v>
      </c>
      <c r="C5" s="2">
        <f t="shared" si="1"/>
        <v>10</v>
      </c>
      <c r="D5">
        <v>0.254</v>
      </c>
      <c r="E5">
        <v>1.4999999999999999E-2</v>
      </c>
      <c r="F5">
        <v>0.01</v>
      </c>
      <c r="G5" s="3">
        <f t="shared" si="0"/>
        <v>5.3766925794931711E-2</v>
      </c>
      <c r="H5" t="s">
        <v>23</v>
      </c>
      <c r="I5" t="s">
        <v>34</v>
      </c>
      <c r="J5">
        <v>496.66</v>
      </c>
    </row>
    <row r="6" spans="1:11" x14ac:dyDescent="0.35">
      <c r="A6" s="2">
        <v>9</v>
      </c>
      <c r="B6" s="2" t="s">
        <v>12</v>
      </c>
      <c r="C6" s="2">
        <f t="shared" si="1"/>
        <v>14.000000000000002</v>
      </c>
      <c r="D6">
        <v>0.35560000000000003</v>
      </c>
      <c r="E6">
        <v>1.4999999999999999E-2</v>
      </c>
      <c r="F6">
        <v>0.01</v>
      </c>
      <c r="G6" s="3">
        <f t="shared" si="0"/>
        <v>0.13188334918801561</v>
      </c>
      <c r="H6" t="s">
        <v>23</v>
      </c>
      <c r="I6" t="s">
        <v>35</v>
      </c>
      <c r="J6">
        <v>323.13</v>
      </c>
      <c r="K6" t="s">
        <v>85</v>
      </c>
    </row>
    <row r="7" spans="1:11" x14ac:dyDescent="0.35">
      <c r="A7" s="2">
        <v>8</v>
      </c>
      <c r="B7" s="2">
        <v>7</v>
      </c>
      <c r="C7" s="2">
        <f t="shared" si="1"/>
        <v>10</v>
      </c>
      <c r="D7">
        <v>0.254</v>
      </c>
      <c r="E7">
        <v>1.4999999999999999E-2</v>
      </c>
      <c r="F7">
        <v>0.01</v>
      </c>
      <c r="G7" s="3">
        <f t="shared" si="0"/>
        <v>5.3766925794931711E-2</v>
      </c>
      <c r="H7" t="s">
        <v>23</v>
      </c>
      <c r="I7" t="s">
        <v>36</v>
      </c>
      <c r="J7">
        <v>526.87</v>
      </c>
    </row>
    <row r="8" spans="1:11" x14ac:dyDescent="0.35">
      <c r="A8" s="2">
        <v>7</v>
      </c>
      <c r="B8" s="2" t="s">
        <v>9</v>
      </c>
      <c r="C8" s="2">
        <f t="shared" si="1"/>
        <v>7.9999999999999991</v>
      </c>
      <c r="D8">
        <v>0.20319999999999999</v>
      </c>
      <c r="E8">
        <v>1.4999999999999999E-2</v>
      </c>
      <c r="F8">
        <v>0.01</v>
      </c>
      <c r="G8" s="3">
        <f t="shared" si="0"/>
        <v>2.9654356507896575E-2</v>
      </c>
      <c r="H8" t="s">
        <v>23</v>
      </c>
      <c r="I8" t="s">
        <v>40</v>
      </c>
      <c r="J8">
        <v>200.99</v>
      </c>
    </row>
    <row r="9" spans="1:11" x14ac:dyDescent="0.35">
      <c r="A9" s="2" t="s">
        <v>10</v>
      </c>
      <c r="B9" s="2">
        <v>25</v>
      </c>
      <c r="C9" s="2">
        <f t="shared" si="1"/>
        <v>7.9999999999999991</v>
      </c>
      <c r="D9">
        <v>0.20319999999999999</v>
      </c>
      <c r="E9">
        <v>1.4999999999999999E-2</v>
      </c>
      <c r="F9">
        <v>0.01</v>
      </c>
      <c r="G9" s="3">
        <f t="shared" si="0"/>
        <v>2.9654356507896575E-2</v>
      </c>
      <c r="H9" t="s">
        <v>23</v>
      </c>
      <c r="I9" t="s">
        <v>41</v>
      </c>
      <c r="J9">
        <v>200.99</v>
      </c>
    </row>
    <row r="10" spans="1:11" x14ac:dyDescent="0.35">
      <c r="A10" s="2" t="s">
        <v>9</v>
      </c>
      <c r="B10" s="2">
        <v>25</v>
      </c>
      <c r="C10" s="2">
        <f t="shared" si="1"/>
        <v>7.9999999999999991</v>
      </c>
      <c r="D10">
        <v>0.20319999999999999</v>
      </c>
      <c r="E10">
        <v>1.4999999999999999E-2</v>
      </c>
      <c r="F10">
        <v>0.01</v>
      </c>
      <c r="G10" s="3">
        <f t="shared" si="0"/>
        <v>2.9654356507896575E-2</v>
      </c>
      <c r="H10" t="s">
        <v>23</v>
      </c>
      <c r="I10" t="s">
        <v>42</v>
      </c>
      <c r="J10">
        <v>244.72</v>
      </c>
    </row>
    <row r="11" spans="1:11" x14ac:dyDescent="0.35">
      <c r="A11" s="2">
        <v>5</v>
      </c>
      <c r="B11" s="2">
        <v>26</v>
      </c>
      <c r="C11" s="2">
        <f t="shared" si="1"/>
        <v>14.000000000000002</v>
      </c>
      <c r="D11">
        <v>0.35560000000000003</v>
      </c>
      <c r="E11">
        <v>1.4999999999999999E-2</v>
      </c>
      <c r="F11">
        <v>0.01</v>
      </c>
      <c r="G11" s="3">
        <f t="shared" si="0"/>
        <v>0.13188334918801561</v>
      </c>
      <c r="H11" t="s">
        <v>23</v>
      </c>
      <c r="I11" t="s">
        <v>43</v>
      </c>
      <c r="J11">
        <v>198.6</v>
      </c>
    </row>
    <row r="12" spans="1:11" x14ac:dyDescent="0.35">
      <c r="A12" s="2">
        <v>25</v>
      </c>
      <c r="B12" s="2">
        <v>26</v>
      </c>
      <c r="C12" s="2">
        <f t="shared" si="1"/>
        <v>7.9999999999999991</v>
      </c>
      <c r="D12">
        <v>0.20319999999999999</v>
      </c>
      <c r="E12">
        <v>1.4999999999999999E-2</v>
      </c>
      <c r="F12">
        <v>0.01</v>
      </c>
      <c r="G12" s="3">
        <f t="shared" si="0"/>
        <v>2.9654356507896575E-2</v>
      </c>
      <c r="H12" t="s">
        <v>23</v>
      </c>
      <c r="I12" t="s">
        <v>44</v>
      </c>
      <c r="J12">
        <v>244.72</v>
      </c>
    </row>
    <row r="13" spans="1:11" x14ac:dyDescent="0.35">
      <c r="A13" s="2">
        <v>27</v>
      </c>
      <c r="B13" s="2" t="s">
        <v>4</v>
      </c>
      <c r="C13" s="2">
        <f t="shared" si="1"/>
        <v>10</v>
      </c>
      <c r="D13">
        <v>0.254</v>
      </c>
      <c r="E13">
        <v>1.4999999999999999E-2</v>
      </c>
      <c r="F13">
        <v>0.01</v>
      </c>
      <c r="G13" s="3">
        <f t="shared" si="0"/>
        <v>5.3766925794931711E-2</v>
      </c>
      <c r="H13" t="s">
        <v>23</v>
      </c>
      <c r="I13" t="s">
        <v>37</v>
      </c>
      <c r="J13">
        <v>321.39999999999998</v>
      </c>
    </row>
    <row r="14" spans="1:11" x14ac:dyDescent="0.35">
      <c r="A14" s="2" t="s">
        <v>9</v>
      </c>
      <c r="B14" s="2">
        <v>23</v>
      </c>
      <c r="C14" s="2">
        <f t="shared" si="1"/>
        <v>7.9999999999999991</v>
      </c>
      <c r="D14">
        <v>0.20319999999999999</v>
      </c>
      <c r="E14">
        <v>1.4999999999999999E-2</v>
      </c>
      <c r="F14">
        <v>0.01</v>
      </c>
      <c r="G14" s="3">
        <f t="shared" si="0"/>
        <v>2.9654356507896575E-2</v>
      </c>
      <c r="H14" t="s">
        <v>23</v>
      </c>
      <c r="I14" t="s">
        <v>45</v>
      </c>
      <c r="J14">
        <v>212.02</v>
      </c>
    </row>
    <row r="15" spans="1:11" x14ac:dyDescent="0.35">
      <c r="A15" s="2">
        <v>8</v>
      </c>
      <c r="B15" s="2" t="s">
        <v>11</v>
      </c>
      <c r="C15" s="2">
        <f t="shared" si="1"/>
        <v>7.9999999999999991</v>
      </c>
      <c r="D15">
        <v>0.20319999999999999</v>
      </c>
      <c r="E15">
        <v>1.4999999999999999E-2</v>
      </c>
      <c r="F15">
        <v>0.01</v>
      </c>
      <c r="G15" s="3">
        <f t="shared" si="0"/>
        <v>2.9654356507896575E-2</v>
      </c>
      <c r="H15" t="s">
        <v>23</v>
      </c>
      <c r="I15" t="s">
        <v>46</v>
      </c>
      <c r="J15">
        <v>406.28</v>
      </c>
      <c r="K15" t="s">
        <v>85</v>
      </c>
    </row>
    <row r="16" spans="1:11" x14ac:dyDescent="0.35">
      <c r="A16" s="2" t="s">
        <v>12</v>
      </c>
      <c r="B16" s="2" t="s">
        <v>11</v>
      </c>
      <c r="C16" s="2">
        <f t="shared" si="1"/>
        <v>14.000000000000002</v>
      </c>
      <c r="D16">
        <v>0.35560000000000003</v>
      </c>
      <c r="E16">
        <v>1.4999999999999999E-2</v>
      </c>
      <c r="F16">
        <v>0.01</v>
      </c>
      <c r="G16" s="3">
        <f t="shared" si="0"/>
        <v>0.13188334918801561</v>
      </c>
      <c r="H16" t="s">
        <v>23</v>
      </c>
      <c r="I16" t="s">
        <v>47</v>
      </c>
      <c r="J16">
        <v>449.82</v>
      </c>
    </row>
    <row r="17" spans="1:11" x14ac:dyDescent="0.35">
      <c r="A17" s="2" t="s">
        <v>11</v>
      </c>
      <c r="B17" s="2">
        <v>23</v>
      </c>
      <c r="C17" s="2">
        <f t="shared" si="1"/>
        <v>15.999999999999998</v>
      </c>
      <c r="D17">
        <v>0.40639999999999998</v>
      </c>
      <c r="E17">
        <v>1.4999999999999999E-2</v>
      </c>
      <c r="F17">
        <v>0.01</v>
      </c>
      <c r="G17" s="3">
        <f t="shared" si="0"/>
        <v>0.18829342686430017</v>
      </c>
      <c r="H17" t="s">
        <v>23</v>
      </c>
      <c r="I17" t="s">
        <v>48</v>
      </c>
      <c r="J17">
        <v>484.85</v>
      </c>
    </row>
    <row r="18" spans="1:11" x14ac:dyDescent="0.35">
      <c r="A18" s="2">
        <v>26</v>
      </c>
      <c r="B18" s="2">
        <v>24</v>
      </c>
      <c r="C18" s="2">
        <f t="shared" si="1"/>
        <v>14.000000000000002</v>
      </c>
      <c r="D18">
        <v>0.35560000000000003</v>
      </c>
      <c r="E18">
        <v>1.4999999999999999E-2</v>
      </c>
      <c r="F18">
        <v>0.01</v>
      </c>
      <c r="G18" s="3">
        <f t="shared" si="0"/>
        <v>0.13188334918801561</v>
      </c>
      <c r="H18" t="s">
        <v>23</v>
      </c>
      <c r="I18" t="s">
        <v>49</v>
      </c>
      <c r="J18">
        <v>245.22</v>
      </c>
    </row>
    <row r="19" spans="1:11" x14ac:dyDescent="0.35">
      <c r="A19" s="2">
        <v>23</v>
      </c>
      <c r="B19" s="2" t="s">
        <v>20</v>
      </c>
      <c r="C19" s="2">
        <f t="shared" si="1"/>
        <v>12</v>
      </c>
      <c r="D19">
        <v>0.30480000000000002</v>
      </c>
      <c r="E19">
        <v>1.4999999999999999E-2</v>
      </c>
      <c r="F19">
        <v>0.01</v>
      </c>
      <c r="G19" s="3">
        <f t="shared" si="0"/>
        <v>8.7430949571231584E-2</v>
      </c>
      <c r="H19" t="s">
        <v>23</v>
      </c>
      <c r="I19" t="s">
        <v>53</v>
      </c>
      <c r="J19">
        <v>255.41</v>
      </c>
    </row>
    <row r="20" spans="1:11" x14ac:dyDescent="0.35">
      <c r="A20" s="2" t="s">
        <v>20</v>
      </c>
      <c r="B20" s="2">
        <v>24</v>
      </c>
      <c r="C20" s="2">
        <f t="shared" si="1"/>
        <v>15.999999999999998</v>
      </c>
      <c r="D20">
        <v>0.40639999999999998</v>
      </c>
      <c r="E20">
        <v>1.4999999999999999E-2</v>
      </c>
      <c r="F20">
        <v>0.01</v>
      </c>
      <c r="G20" s="3">
        <f t="shared" si="0"/>
        <v>0.18829342686430017</v>
      </c>
      <c r="H20" t="s">
        <v>23</v>
      </c>
      <c r="I20" t="s">
        <v>54</v>
      </c>
      <c r="J20">
        <v>249.81</v>
      </c>
    </row>
    <row r="21" spans="1:11" x14ac:dyDescent="0.35">
      <c r="A21" s="2">
        <v>24</v>
      </c>
      <c r="B21" s="2" t="s">
        <v>19</v>
      </c>
      <c r="C21" s="2">
        <f t="shared" si="1"/>
        <v>15.999999999999998</v>
      </c>
      <c r="D21">
        <v>0.40639999999999998</v>
      </c>
      <c r="E21">
        <v>1.4999999999999999E-2</v>
      </c>
      <c r="F21">
        <v>0.01</v>
      </c>
      <c r="G21" s="3">
        <f t="shared" si="0"/>
        <v>0.18829342686430017</v>
      </c>
      <c r="H21" t="s">
        <v>23</v>
      </c>
      <c r="I21" t="s">
        <v>55</v>
      </c>
      <c r="J21">
        <v>221.49</v>
      </c>
    </row>
    <row r="22" spans="1:11" x14ac:dyDescent="0.35">
      <c r="A22" s="2" t="s">
        <v>19</v>
      </c>
      <c r="B22" s="2">
        <v>30</v>
      </c>
      <c r="C22" s="2">
        <f t="shared" si="1"/>
        <v>15.999999999999998</v>
      </c>
      <c r="D22">
        <v>0.40639999999999998</v>
      </c>
      <c r="E22">
        <v>1.4999999999999999E-2</v>
      </c>
      <c r="F22">
        <v>0.01</v>
      </c>
      <c r="G22" s="3">
        <f t="shared" si="0"/>
        <v>0.18829342686430017</v>
      </c>
      <c r="H22" t="s">
        <v>23</v>
      </c>
      <c r="I22" t="s">
        <v>56</v>
      </c>
      <c r="J22">
        <v>155.61000000000001</v>
      </c>
      <c r="K22" t="s">
        <v>88</v>
      </c>
    </row>
    <row r="23" spans="1:11" x14ac:dyDescent="0.35">
      <c r="A23" s="2">
        <v>30</v>
      </c>
      <c r="B23" s="2">
        <v>29</v>
      </c>
      <c r="C23" s="2">
        <f t="shared" si="1"/>
        <v>20</v>
      </c>
      <c r="D23">
        <v>0.50800000000000001</v>
      </c>
      <c r="E23">
        <v>1.4999999999999999E-2</v>
      </c>
      <c r="F23">
        <v>0.01</v>
      </c>
      <c r="G23" s="3">
        <f t="shared" si="0"/>
        <v>0.34139869827188296</v>
      </c>
      <c r="H23" t="s">
        <v>23</v>
      </c>
      <c r="I23" t="s">
        <v>51</v>
      </c>
      <c r="J23">
        <v>308.3</v>
      </c>
      <c r="K23" t="s">
        <v>88</v>
      </c>
    </row>
    <row r="24" spans="1:11" x14ac:dyDescent="0.35">
      <c r="A24" s="2" t="s">
        <v>4</v>
      </c>
      <c r="B24" s="2">
        <v>31</v>
      </c>
      <c r="C24" s="2">
        <f t="shared" si="1"/>
        <v>12</v>
      </c>
      <c r="D24">
        <v>0.30480000000000002</v>
      </c>
      <c r="E24">
        <v>1.4999999999999999E-2</v>
      </c>
      <c r="F24">
        <v>0.01</v>
      </c>
      <c r="G24" s="3">
        <f t="shared" si="0"/>
        <v>8.7430949571231584E-2</v>
      </c>
      <c r="H24" t="s">
        <v>23</v>
      </c>
      <c r="I24" t="s">
        <v>26</v>
      </c>
      <c r="J24">
        <v>266.35000000000002</v>
      </c>
      <c r="K24" t="s">
        <v>88</v>
      </c>
    </row>
    <row r="25" spans="1:11" x14ac:dyDescent="0.35">
      <c r="A25" s="2">
        <v>29</v>
      </c>
      <c r="B25" s="2">
        <v>31</v>
      </c>
      <c r="C25" s="2">
        <f t="shared" si="1"/>
        <v>20</v>
      </c>
      <c r="D25">
        <v>0.50800000000000001</v>
      </c>
      <c r="E25">
        <v>1.4999999999999999E-2</v>
      </c>
      <c r="F25">
        <v>0.01</v>
      </c>
      <c r="G25" s="3">
        <f t="shared" si="0"/>
        <v>0.34139869827188296</v>
      </c>
      <c r="H25" t="s">
        <v>23</v>
      </c>
      <c r="I25" t="s">
        <v>52</v>
      </c>
      <c r="J25">
        <v>308.3</v>
      </c>
      <c r="K25" t="s">
        <v>88</v>
      </c>
    </row>
    <row r="26" spans="1:11" x14ac:dyDescent="0.35">
      <c r="A26" s="2">
        <v>17</v>
      </c>
      <c r="B26" s="2">
        <v>16</v>
      </c>
      <c r="C26" s="2">
        <f t="shared" si="1"/>
        <v>7.9999999999999991</v>
      </c>
      <c r="D26">
        <v>0.20319999999999999</v>
      </c>
      <c r="E26">
        <v>1.4999999999999999E-2</v>
      </c>
      <c r="F26">
        <v>0.01</v>
      </c>
      <c r="G26" s="3">
        <f t="shared" si="0"/>
        <v>2.9654356507896575E-2</v>
      </c>
      <c r="H26" t="s">
        <v>23</v>
      </c>
      <c r="I26" t="s">
        <v>50</v>
      </c>
      <c r="J26">
        <v>110.38</v>
      </c>
    </row>
    <row r="27" spans="1:11" x14ac:dyDescent="0.35">
      <c r="A27" s="2">
        <v>16</v>
      </c>
      <c r="B27" s="2">
        <v>15</v>
      </c>
      <c r="C27" s="2">
        <f t="shared" si="1"/>
        <v>10</v>
      </c>
      <c r="D27">
        <v>0.254</v>
      </c>
      <c r="E27">
        <v>1.4999999999999999E-2</v>
      </c>
      <c r="F27">
        <v>0.01</v>
      </c>
      <c r="G27" s="3">
        <f>(1/E27) * (PI()*(D27^2)/4) * ((D27/4)^(2/3)) * (F27^(1/2))</f>
        <v>5.3766925794931711E-2</v>
      </c>
      <c r="H27" t="s">
        <v>23</v>
      </c>
      <c r="I27" t="s">
        <v>57</v>
      </c>
      <c r="J27">
        <v>332.42</v>
      </c>
    </row>
    <row r="28" spans="1:11" x14ac:dyDescent="0.35">
      <c r="A28" s="2">
        <v>15</v>
      </c>
      <c r="B28" s="2">
        <v>10</v>
      </c>
      <c r="C28" s="2">
        <f>D28/0.254*10</f>
        <v>12</v>
      </c>
      <c r="D28">
        <v>0.30480000000000002</v>
      </c>
      <c r="E28">
        <v>1.4999999999999999E-2</v>
      </c>
      <c r="F28">
        <v>0.01</v>
      </c>
      <c r="G28" s="3">
        <f>(1/E28) * (PI()*(D28^2)/4) * ((D28/4)^(2/3)) * (F28^(1/2))</f>
        <v>8.7430949571231584E-2</v>
      </c>
      <c r="H28" t="s">
        <v>23</v>
      </c>
      <c r="I28" t="s">
        <v>58</v>
      </c>
      <c r="J28">
        <v>422.02</v>
      </c>
    </row>
    <row r="29" spans="1:11" x14ac:dyDescent="0.35">
      <c r="A29" s="4">
        <v>15</v>
      </c>
      <c r="B29" s="4">
        <v>14</v>
      </c>
      <c r="C29" s="4">
        <v>12</v>
      </c>
      <c r="D29" s="5">
        <v>0.30480000000000002</v>
      </c>
      <c r="E29" s="5">
        <v>1.4999999999999999E-2</v>
      </c>
      <c r="F29" s="5">
        <v>0.01</v>
      </c>
      <c r="G29" s="6">
        <f>(1/E29) * (PI()*(D29^2)/4) * ((D29/4)^(2/3)) * (F29^(1/2))</f>
        <v>8.7430949571231584E-2</v>
      </c>
      <c r="H29" s="5" t="s">
        <v>23</v>
      </c>
      <c r="I29" s="5" t="s">
        <v>60</v>
      </c>
      <c r="J29" s="5">
        <v>224.95</v>
      </c>
    </row>
    <row r="30" spans="1:11" x14ac:dyDescent="0.35">
      <c r="A30" s="2">
        <v>10</v>
      </c>
      <c r="B30" s="2">
        <v>11</v>
      </c>
      <c r="C30" s="2">
        <f t="shared" si="1"/>
        <v>12</v>
      </c>
      <c r="D30">
        <v>0.30480000000000002</v>
      </c>
      <c r="E30">
        <v>1.4999999999999999E-2</v>
      </c>
      <c r="F30">
        <v>0.01</v>
      </c>
      <c r="G30" s="3">
        <f t="shared" si="0"/>
        <v>8.7430949571231584E-2</v>
      </c>
      <c r="H30" t="s">
        <v>23</v>
      </c>
      <c r="I30" t="s">
        <v>61</v>
      </c>
      <c r="J30">
        <v>451.67</v>
      </c>
    </row>
    <row r="31" spans="1:11" x14ac:dyDescent="0.35">
      <c r="A31" s="2">
        <v>18</v>
      </c>
      <c r="B31" s="2">
        <v>14</v>
      </c>
      <c r="C31" s="2">
        <f t="shared" si="1"/>
        <v>10</v>
      </c>
      <c r="D31">
        <v>0.254</v>
      </c>
      <c r="E31">
        <v>1.4999999999999999E-2</v>
      </c>
      <c r="F31">
        <v>0.01</v>
      </c>
      <c r="G31" s="3">
        <f t="shared" si="0"/>
        <v>5.3766925794931711E-2</v>
      </c>
      <c r="H31" t="s">
        <v>23</v>
      </c>
      <c r="I31" t="s">
        <v>62</v>
      </c>
      <c r="J31">
        <v>192.2</v>
      </c>
    </row>
    <row r="32" spans="1:11" x14ac:dyDescent="0.35">
      <c r="A32" s="2">
        <v>14</v>
      </c>
      <c r="B32" s="2">
        <v>11</v>
      </c>
      <c r="C32" s="2">
        <f t="shared" si="1"/>
        <v>12</v>
      </c>
      <c r="D32">
        <v>0.30480000000000002</v>
      </c>
      <c r="E32">
        <v>1.4999999999999999E-2</v>
      </c>
      <c r="F32">
        <v>0.01</v>
      </c>
      <c r="G32" s="3">
        <f t="shared" si="0"/>
        <v>8.7430949571231584E-2</v>
      </c>
      <c r="H32" t="s">
        <v>23</v>
      </c>
      <c r="I32" t="s">
        <v>63</v>
      </c>
      <c r="J32">
        <v>675.57</v>
      </c>
    </row>
    <row r="33" spans="1:11" x14ac:dyDescent="0.35">
      <c r="A33" s="2">
        <v>11</v>
      </c>
      <c r="B33" s="2" t="s">
        <v>11</v>
      </c>
      <c r="C33" s="2">
        <f t="shared" si="1"/>
        <v>12</v>
      </c>
      <c r="D33">
        <v>0.30480000000000002</v>
      </c>
      <c r="E33">
        <v>1.4999999999999999E-2</v>
      </c>
      <c r="F33">
        <v>0.01</v>
      </c>
      <c r="G33" s="3">
        <f t="shared" si="0"/>
        <v>8.7430949571231584E-2</v>
      </c>
      <c r="H33" t="s">
        <v>23</v>
      </c>
      <c r="I33" t="s">
        <v>64</v>
      </c>
      <c r="J33">
        <v>203.14</v>
      </c>
      <c r="K33" t="s">
        <v>88</v>
      </c>
    </row>
    <row r="34" spans="1:11" x14ac:dyDescent="0.35">
      <c r="A34" s="2">
        <v>20</v>
      </c>
      <c r="B34" s="2" t="s">
        <v>16</v>
      </c>
      <c r="C34" s="2">
        <f t="shared" si="1"/>
        <v>7.9999999999999991</v>
      </c>
      <c r="D34">
        <v>0.20319999999999999</v>
      </c>
      <c r="E34">
        <v>1.4999999999999999E-2</v>
      </c>
      <c r="F34">
        <v>0.01</v>
      </c>
      <c r="G34" s="3">
        <f t="shared" si="0"/>
        <v>2.9654356507896575E-2</v>
      </c>
      <c r="H34" t="s">
        <v>23</v>
      </c>
      <c r="I34" t="s">
        <v>65</v>
      </c>
      <c r="J34">
        <v>222.21</v>
      </c>
    </row>
    <row r="35" spans="1:11" x14ac:dyDescent="0.35">
      <c r="A35" s="2">
        <v>6</v>
      </c>
      <c r="B35" s="2" t="s">
        <v>3</v>
      </c>
      <c r="C35" s="2">
        <f t="shared" ref="C35:C56" si="2">D35/0.254*10</f>
        <v>7.9999999999999991</v>
      </c>
      <c r="D35">
        <v>0.20319999999999999</v>
      </c>
      <c r="E35">
        <v>1.4999999999999999E-2</v>
      </c>
      <c r="F35">
        <v>0.01</v>
      </c>
      <c r="G35" s="3">
        <f t="shared" ref="G35:G56" si="3">(1/E35) * (PI()*(D35^2)/4) * ((D35/4)^(2/3)) * (F35^(1/2))</f>
        <v>2.9654356507896575E-2</v>
      </c>
      <c r="H35" t="s">
        <v>23</v>
      </c>
      <c r="I35" t="s">
        <v>38</v>
      </c>
      <c r="J35">
        <v>273.17</v>
      </c>
    </row>
    <row r="36" spans="1:11" x14ac:dyDescent="0.35">
      <c r="A36" s="2" t="s">
        <v>16</v>
      </c>
      <c r="B36" s="2">
        <v>21</v>
      </c>
      <c r="C36" s="2">
        <f t="shared" si="2"/>
        <v>10</v>
      </c>
      <c r="D36">
        <v>0.254</v>
      </c>
      <c r="E36">
        <v>1.4999999999999999E-2</v>
      </c>
      <c r="F36">
        <v>0.01</v>
      </c>
      <c r="G36" s="3">
        <f t="shared" si="3"/>
        <v>5.3766925794931711E-2</v>
      </c>
      <c r="H36" t="s">
        <v>23</v>
      </c>
      <c r="I36" t="s">
        <v>66</v>
      </c>
      <c r="J36">
        <v>319.39999999999998</v>
      </c>
    </row>
    <row r="37" spans="1:11" x14ac:dyDescent="0.35">
      <c r="A37" s="2">
        <v>21</v>
      </c>
      <c r="B37" s="2">
        <v>22</v>
      </c>
      <c r="C37" s="2">
        <f t="shared" si="2"/>
        <v>10</v>
      </c>
      <c r="D37">
        <v>0.254</v>
      </c>
      <c r="E37">
        <v>1.4999999999999999E-2</v>
      </c>
      <c r="F37">
        <v>0.01</v>
      </c>
      <c r="G37" s="3">
        <f t="shared" si="3"/>
        <v>5.3766925794931711E-2</v>
      </c>
      <c r="H37" t="s">
        <v>23</v>
      </c>
      <c r="I37" t="s">
        <v>67</v>
      </c>
      <c r="J37">
        <v>416.44</v>
      </c>
    </row>
    <row r="38" spans="1:11" x14ac:dyDescent="0.35">
      <c r="A38" s="2">
        <v>22</v>
      </c>
      <c r="B38" s="2" t="s">
        <v>17</v>
      </c>
      <c r="C38" s="2">
        <f t="shared" si="2"/>
        <v>12</v>
      </c>
      <c r="D38">
        <v>0.30480000000000002</v>
      </c>
      <c r="E38">
        <v>1.4999999999999999E-2</v>
      </c>
      <c r="F38">
        <v>0.01</v>
      </c>
      <c r="G38" s="3">
        <f t="shared" si="3"/>
        <v>8.7430949571231584E-2</v>
      </c>
      <c r="H38" t="s">
        <v>23</v>
      </c>
      <c r="I38" t="s">
        <v>68</v>
      </c>
      <c r="J38">
        <v>235.93</v>
      </c>
    </row>
    <row r="39" spans="1:11" x14ac:dyDescent="0.35">
      <c r="A39" s="2">
        <v>19</v>
      </c>
      <c r="B39" s="2" t="s">
        <v>15</v>
      </c>
      <c r="C39" s="2">
        <f t="shared" si="2"/>
        <v>7.9999999999999991</v>
      </c>
      <c r="D39">
        <v>0.20319999999999999</v>
      </c>
      <c r="E39">
        <v>1.4999999999999999E-2</v>
      </c>
      <c r="F39">
        <v>0.01</v>
      </c>
      <c r="G39" s="3">
        <f t="shared" si="3"/>
        <v>2.9654356507896575E-2</v>
      </c>
      <c r="H39" t="s">
        <v>23</v>
      </c>
      <c r="I39" t="s">
        <v>59</v>
      </c>
      <c r="J39">
        <v>564.07000000000005</v>
      </c>
    </row>
    <row r="40" spans="1:11" x14ac:dyDescent="0.35">
      <c r="A40" s="2" t="s">
        <v>15</v>
      </c>
      <c r="B40" s="2">
        <v>13</v>
      </c>
      <c r="C40" s="2">
        <f t="shared" si="2"/>
        <v>10</v>
      </c>
      <c r="D40">
        <v>0.254</v>
      </c>
      <c r="E40">
        <v>1.4999999999999999E-2</v>
      </c>
      <c r="F40">
        <v>0.01</v>
      </c>
      <c r="G40" s="3">
        <f t="shared" si="3"/>
        <v>5.3766925794931711E-2</v>
      </c>
      <c r="H40" t="s">
        <v>23</v>
      </c>
      <c r="I40" t="s">
        <v>69</v>
      </c>
      <c r="J40">
        <v>101.85</v>
      </c>
    </row>
    <row r="41" spans="1:11" x14ac:dyDescent="0.35">
      <c r="A41" s="2">
        <v>13</v>
      </c>
      <c r="B41" s="2">
        <v>21</v>
      </c>
      <c r="C41" s="2">
        <f t="shared" si="2"/>
        <v>10</v>
      </c>
      <c r="D41">
        <v>0.254</v>
      </c>
      <c r="E41">
        <v>1.4999999999999999E-2</v>
      </c>
      <c r="F41">
        <v>0.01</v>
      </c>
      <c r="G41" s="3">
        <f t="shared" si="3"/>
        <v>5.3766925794931711E-2</v>
      </c>
      <c r="H41" t="s">
        <v>23</v>
      </c>
      <c r="I41" t="s">
        <v>70</v>
      </c>
      <c r="J41">
        <v>239.45</v>
      </c>
    </row>
    <row r="42" spans="1:11" x14ac:dyDescent="0.35">
      <c r="A42" s="2">
        <v>13</v>
      </c>
      <c r="B42" s="2" t="s">
        <v>7</v>
      </c>
      <c r="C42" s="2">
        <f t="shared" si="2"/>
        <v>12</v>
      </c>
      <c r="D42">
        <v>0.30480000000000002</v>
      </c>
      <c r="E42">
        <v>1.4999999999999999E-2</v>
      </c>
      <c r="F42">
        <v>0.01</v>
      </c>
      <c r="G42" s="3">
        <f t="shared" si="3"/>
        <v>8.7430949571231584E-2</v>
      </c>
      <c r="H42" t="s">
        <v>23</v>
      </c>
      <c r="I42" t="s">
        <v>71</v>
      </c>
      <c r="J42">
        <v>448.74</v>
      </c>
    </row>
    <row r="43" spans="1:11" x14ac:dyDescent="0.35">
      <c r="A43" s="2">
        <v>21</v>
      </c>
      <c r="B43" s="2">
        <v>14</v>
      </c>
      <c r="C43" s="2">
        <f t="shared" si="2"/>
        <v>10</v>
      </c>
      <c r="D43">
        <v>0.254</v>
      </c>
      <c r="E43">
        <v>1.4999999999999999E-2</v>
      </c>
      <c r="F43">
        <v>0.01</v>
      </c>
      <c r="G43" s="3">
        <f t="shared" si="3"/>
        <v>5.3766925794931711E-2</v>
      </c>
      <c r="H43" t="s">
        <v>23</v>
      </c>
      <c r="I43" t="s">
        <v>72</v>
      </c>
      <c r="J43">
        <v>385.65</v>
      </c>
    </row>
    <row r="44" spans="1:11" x14ac:dyDescent="0.35">
      <c r="A44" s="2" t="s">
        <v>7</v>
      </c>
      <c r="B44" s="2">
        <v>30</v>
      </c>
      <c r="C44" s="2">
        <f t="shared" si="2"/>
        <v>14.000000000000002</v>
      </c>
      <c r="D44">
        <v>0.35560000000000003</v>
      </c>
      <c r="E44">
        <v>1.4999999999999999E-2</v>
      </c>
      <c r="F44">
        <v>0.01</v>
      </c>
      <c r="G44" s="3">
        <f t="shared" si="3"/>
        <v>0.13188334918801561</v>
      </c>
      <c r="H44" t="s">
        <v>23</v>
      </c>
      <c r="I44" t="s">
        <v>73</v>
      </c>
      <c r="J44">
        <v>124.67</v>
      </c>
    </row>
    <row r="45" spans="1:11" x14ac:dyDescent="0.35">
      <c r="A45" s="2" t="s">
        <v>17</v>
      </c>
      <c r="B45" s="2">
        <v>12</v>
      </c>
      <c r="C45" s="2">
        <f t="shared" si="2"/>
        <v>12</v>
      </c>
      <c r="D45">
        <v>0.30480000000000002</v>
      </c>
      <c r="E45">
        <v>1.4999999999999999E-2</v>
      </c>
      <c r="F45">
        <v>0.01</v>
      </c>
      <c r="G45" s="3">
        <f t="shared" si="3"/>
        <v>8.7430949571231584E-2</v>
      </c>
      <c r="H45" t="s">
        <v>23</v>
      </c>
      <c r="I45" t="s">
        <v>74</v>
      </c>
      <c r="J45">
        <v>213.25</v>
      </c>
    </row>
    <row r="46" spans="1:11" x14ac:dyDescent="0.35">
      <c r="A46" s="2">
        <v>6</v>
      </c>
      <c r="B46" s="2" t="s">
        <v>8</v>
      </c>
      <c r="C46" s="2">
        <f t="shared" si="2"/>
        <v>7.9999999999999991</v>
      </c>
      <c r="D46">
        <v>0.20319999999999999</v>
      </c>
      <c r="E46">
        <v>1.4999999999999999E-2</v>
      </c>
      <c r="F46">
        <v>0.01</v>
      </c>
      <c r="G46" s="3">
        <f t="shared" si="3"/>
        <v>2.9654356507896575E-2</v>
      </c>
      <c r="H46" t="s">
        <v>23</v>
      </c>
      <c r="I46" t="s">
        <v>27</v>
      </c>
      <c r="J46">
        <v>247.75</v>
      </c>
      <c r="K46" t="s">
        <v>85</v>
      </c>
    </row>
    <row r="47" spans="1:11" x14ac:dyDescent="0.35">
      <c r="A47" s="2" t="s">
        <v>17</v>
      </c>
      <c r="B47" s="2" t="s">
        <v>13</v>
      </c>
      <c r="C47" s="2">
        <f t="shared" si="2"/>
        <v>7.9999999999999991</v>
      </c>
      <c r="D47">
        <f>0.2032</f>
        <v>0.20319999999999999</v>
      </c>
      <c r="E47">
        <v>1.4999999999999999E-2</v>
      </c>
      <c r="F47">
        <v>0.01</v>
      </c>
      <c r="G47" s="3">
        <f t="shared" si="3"/>
        <v>2.9654356507896575E-2</v>
      </c>
      <c r="H47" t="s">
        <v>23</v>
      </c>
      <c r="I47" t="s">
        <v>75</v>
      </c>
      <c r="J47">
        <v>213.44</v>
      </c>
    </row>
    <row r="48" spans="1:11" x14ac:dyDescent="0.35">
      <c r="A48" s="2">
        <v>11</v>
      </c>
      <c r="B48" s="2">
        <v>12</v>
      </c>
      <c r="C48" s="2">
        <f t="shared" si="2"/>
        <v>7.9999999999999991</v>
      </c>
      <c r="D48">
        <v>0.20319999999999999</v>
      </c>
      <c r="E48">
        <v>1.4999999999999999E-2</v>
      </c>
      <c r="F48">
        <v>0.01</v>
      </c>
      <c r="G48" s="3">
        <f t="shared" si="3"/>
        <v>2.9654356507896575E-2</v>
      </c>
      <c r="H48" t="s">
        <v>23</v>
      </c>
      <c r="I48" t="s">
        <v>76</v>
      </c>
      <c r="J48">
        <v>440.46</v>
      </c>
    </row>
    <row r="49" spans="1:11" x14ac:dyDescent="0.35">
      <c r="A49" s="2">
        <v>12</v>
      </c>
      <c r="B49" s="2" t="s">
        <v>13</v>
      </c>
      <c r="C49" s="2">
        <f t="shared" si="2"/>
        <v>12</v>
      </c>
      <c r="D49">
        <v>0.30480000000000002</v>
      </c>
      <c r="E49">
        <v>1.4999999999999999E-2</v>
      </c>
      <c r="F49">
        <v>0.01</v>
      </c>
      <c r="G49" s="3">
        <f t="shared" si="3"/>
        <v>8.7430949571231584E-2</v>
      </c>
      <c r="H49" t="s">
        <v>23</v>
      </c>
      <c r="I49" t="s">
        <v>77</v>
      </c>
      <c r="J49">
        <v>209.26</v>
      </c>
    </row>
    <row r="50" spans="1:11" x14ac:dyDescent="0.35">
      <c r="A50" s="2" t="s">
        <v>13</v>
      </c>
      <c r="B50" s="2">
        <v>3</v>
      </c>
      <c r="C50" s="2">
        <f t="shared" si="2"/>
        <v>10</v>
      </c>
      <c r="D50">
        <v>0.254</v>
      </c>
      <c r="E50">
        <v>1.4999999999999999E-2</v>
      </c>
      <c r="F50">
        <v>0.01</v>
      </c>
      <c r="G50" s="3">
        <f t="shared" si="3"/>
        <v>5.3766925794931711E-2</v>
      </c>
      <c r="H50" t="s">
        <v>23</v>
      </c>
      <c r="I50" t="s">
        <v>78</v>
      </c>
      <c r="J50">
        <v>187.77</v>
      </c>
    </row>
    <row r="51" spans="1:11" x14ac:dyDescent="0.35">
      <c r="A51" s="2">
        <v>3</v>
      </c>
      <c r="B51" s="2" t="s">
        <v>7</v>
      </c>
      <c r="C51" s="2">
        <f t="shared" si="2"/>
        <v>10</v>
      </c>
      <c r="D51">
        <v>0.254</v>
      </c>
      <c r="E51">
        <v>1.4999999999999999E-2</v>
      </c>
      <c r="F51">
        <v>0.01</v>
      </c>
      <c r="G51" s="3">
        <f t="shared" si="3"/>
        <v>5.3766925794931711E-2</v>
      </c>
      <c r="H51" t="s">
        <v>23</v>
      </c>
      <c r="I51" t="s">
        <v>79</v>
      </c>
      <c r="J51">
        <v>51.63</v>
      </c>
    </row>
    <row r="52" spans="1:11" x14ac:dyDescent="0.35">
      <c r="A52" s="2">
        <v>12</v>
      </c>
      <c r="B52" s="2" t="s">
        <v>14</v>
      </c>
      <c r="C52" s="2">
        <f t="shared" si="2"/>
        <v>7.9999999999999991</v>
      </c>
      <c r="D52">
        <v>0.20319999999999999</v>
      </c>
      <c r="E52">
        <v>1.4999999999999999E-2</v>
      </c>
      <c r="F52">
        <v>0.01</v>
      </c>
      <c r="G52" s="3">
        <f t="shared" si="3"/>
        <v>2.9654356507896575E-2</v>
      </c>
      <c r="H52" t="s">
        <v>23</v>
      </c>
      <c r="I52" t="s">
        <v>80</v>
      </c>
      <c r="J52">
        <v>214.77</v>
      </c>
    </row>
    <row r="53" spans="1:11" x14ac:dyDescent="0.35">
      <c r="A53" s="2" t="s">
        <v>14</v>
      </c>
      <c r="B53" s="2">
        <v>23</v>
      </c>
      <c r="C53" s="2">
        <f t="shared" si="2"/>
        <v>7.9999999999999991</v>
      </c>
      <c r="D53">
        <v>0.20319999999999999</v>
      </c>
      <c r="E53">
        <v>1.4999999999999999E-2</v>
      </c>
      <c r="F53">
        <v>0.01</v>
      </c>
      <c r="G53" s="3">
        <f t="shared" si="3"/>
        <v>2.9654356507896575E-2</v>
      </c>
      <c r="H53" t="s">
        <v>23</v>
      </c>
      <c r="I53" t="s">
        <v>81</v>
      </c>
      <c r="J53">
        <v>125.61</v>
      </c>
    </row>
    <row r="54" spans="1:11" x14ac:dyDescent="0.35">
      <c r="A54" s="2" t="s">
        <v>13</v>
      </c>
      <c r="B54" s="2" t="s">
        <v>18</v>
      </c>
      <c r="C54" s="2">
        <f t="shared" si="2"/>
        <v>12</v>
      </c>
      <c r="D54">
        <v>0.30480000000000002</v>
      </c>
      <c r="E54">
        <v>1.4999999999999999E-2</v>
      </c>
      <c r="F54">
        <v>0.01</v>
      </c>
      <c r="G54" s="3">
        <f t="shared" si="3"/>
        <v>8.7430949571231584E-2</v>
      </c>
      <c r="H54" t="s">
        <v>23</v>
      </c>
      <c r="I54" t="s">
        <v>82</v>
      </c>
      <c r="J54">
        <v>329.35</v>
      </c>
      <c r="K54" t="s">
        <v>85</v>
      </c>
    </row>
    <row r="55" spans="1:11" x14ac:dyDescent="0.35">
      <c r="A55" s="2" t="s">
        <v>14</v>
      </c>
      <c r="B55" s="2" t="s">
        <v>18</v>
      </c>
      <c r="C55" s="2">
        <f t="shared" si="2"/>
        <v>12</v>
      </c>
      <c r="D55">
        <v>0.30480000000000002</v>
      </c>
      <c r="E55">
        <v>1.4999999999999999E-2</v>
      </c>
      <c r="F55">
        <v>0.01</v>
      </c>
      <c r="G55" s="3">
        <f t="shared" si="3"/>
        <v>8.7430949571231584E-2</v>
      </c>
      <c r="H55" t="s">
        <v>23</v>
      </c>
      <c r="I55" t="s">
        <v>83</v>
      </c>
      <c r="J55">
        <v>257.83999999999997</v>
      </c>
      <c r="K55" t="s">
        <v>85</v>
      </c>
    </row>
    <row r="56" spans="1:11" x14ac:dyDescent="0.35">
      <c r="A56" s="2" t="s">
        <v>18</v>
      </c>
      <c r="B56" s="2" t="s">
        <v>19</v>
      </c>
      <c r="C56" s="2">
        <f t="shared" si="2"/>
        <v>12</v>
      </c>
      <c r="D56">
        <v>0.30480000000000002</v>
      </c>
      <c r="E56">
        <v>1.4999999999999999E-2</v>
      </c>
      <c r="F56">
        <v>0.01</v>
      </c>
      <c r="G56" s="3">
        <f t="shared" si="3"/>
        <v>8.7430949571231584E-2</v>
      </c>
      <c r="H56" t="s">
        <v>23</v>
      </c>
      <c r="I56" t="s">
        <v>89</v>
      </c>
      <c r="J56">
        <v>252.59</v>
      </c>
    </row>
    <row r="57" spans="1:11" x14ac:dyDescent="0.35">
      <c r="A57" s="2" t="s">
        <v>3</v>
      </c>
      <c r="B57" s="2" t="s">
        <v>21</v>
      </c>
      <c r="C57" s="2">
        <f t="shared" si="1"/>
        <v>7.9999999999999991</v>
      </c>
      <c r="D57">
        <v>0.20319999999999999</v>
      </c>
      <c r="E57">
        <v>1.4999999999999999E-2</v>
      </c>
      <c r="F57">
        <v>0.01</v>
      </c>
      <c r="G57" s="3">
        <f t="shared" ref="G57:G60" si="4">(1/E57) * (PI()*(D57^2)/4) * ((D57/4)^(2/3)) * (F57^(1/2))</f>
        <v>2.9654356507896575E-2</v>
      </c>
      <c r="H57" t="s">
        <v>23</v>
      </c>
      <c r="I57" t="s">
        <v>28</v>
      </c>
      <c r="J57">
        <v>611.47</v>
      </c>
    </row>
    <row r="58" spans="1:11" x14ac:dyDescent="0.35">
      <c r="A58" s="2" t="s">
        <v>8</v>
      </c>
      <c r="B58" s="2" t="s">
        <v>22</v>
      </c>
      <c r="C58" s="2">
        <f t="shared" si="1"/>
        <v>7.9999999999999991</v>
      </c>
      <c r="D58">
        <v>0.20319999999999999</v>
      </c>
      <c r="E58">
        <v>1.4999999999999999E-2</v>
      </c>
      <c r="F58">
        <v>0.01</v>
      </c>
      <c r="G58" s="3">
        <f t="shared" si="4"/>
        <v>2.9654356507896575E-2</v>
      </c>
      <c r="H58" t="s">
        <v>23</v>
      </c>
      <c r="I58" t="s">
        <v>29</v>
      </c>
      <c r="J58">
        <v>595.6</v>
      </c>
    </row>
    <row r="59" spans="1:11" x14ac:dyDescent="0.35">
      <c r="A59" s="2" t="s">
        <v>21</v>
      </c>
      <c r="B59" s="2">
        <v>5</v>
      </c>
      <c r="C59" s="2">
        <f t="shared" si="1"/>
        <v>10</v>
      </c>
      <c r="D59">
        <v>0.254</v>
      </c>
      <c r="E59">
        <v>1.4999999999999999E-2</v>
      </c>
      <c r="F59">
        <v>0.01</v>
      </c>
      <c r="G59" s="3">
        <f t="shared" si="4"/>
        <v>5.3766925794931711E-2</v>
      </c>
      <c r="H59" t="s">
        <v>23</v>
      </c>
      <c r="I59" t="s">
        <v>30</v>
      </c>
      <c r="J59">
        <v>712.84</v>
      </c>
    </row>
    <row r="60" spans="1:11" x14ac:dyDescent="0.35">
      <c r="A60" s="2" t="s">
        <v>22</v>
      </c>
      <c r="B60" s="2">
        <v>7</v>
      </c>
      <c r="C60" s="2">
        <f t="shared" si="1"/>
        <v>10</v>
      </c>
      <c r="D60">
        <v>0.254</v>
      </c>
      <c r="E60">
        <v>1.4999999999999999E-2</v>
      </c>
      <c r="F60">
        <v>0.01</v>
      </c>
      <c r="G60" s="3">
        <f t="shared" si="4"/>
        <v>5.3766925794931711E-2</v>
      </c>
      <c r="H60" t="s">
        <v>23</v>
      </c>
      <c r="I60" t="s">
        <v>31</v>
      </c>
      <c r="J60">
        <v>604.44000000000005</v>
      </c>
    </row>
    <row r="61" spans="1:11" x14ac:dyDescent="0.35">
      <c r="A61" s="2">
        <v>31</v>
      </c>
      <c r="J61">
        <f>SUM(J2:J60)</f>
        <v>19163.57</v>
      </c>
    </row>
    <row r="62" spans="1:11" x14ac:dyDescent="0.35">
      <c r="A62" s="2">
        <f>COUNTA(_xlfn.UNIQUE(A2:A60))</f>
        <v>45</v>
      </c>
      <c r="B62" s="2" t="s">
        <v>23</v>
      </c>
      <c r="J62">
        <f>J61/1000</f>
        <v>19.16357</v>
      </c>
    </row>
    <row r="63" spans="1:11" x14ac:dyDescent="0.35">
      <c r="B63" s="2" t="s">
        <v>24</v>
      </c>
    </row>
    <row r="65" spans="1:11" x14ac:dyDescent="0.35">
      <c r="A65" s="2" t="s">
        <v>90</v>
      </c>
      <c r="B65" s="7" t="s">
        <v>91</v>
      </c>
      <c r="C65" s="7"/>
      <c r="D65" s="7"/>
      <c r="E65" s="7"/>
      <c r="F65" s="7"/>
      <c r="G65" s="7"/>
      <c r="H65" s="7"/>
      <c r="I65" s="7"/>
      <c r="J65" s="7"/>
      <c r="K65" s="7"/>
    </row>
  </sheetData>
  <autoFilter ref="A1:J63" xr:uid="{0099A5A2-BEB6-447D-BB27-5088DBA40EEB}">
    <sortState xmlns:xlrd2="http://schemas.microsoft.com/office/spreadsheetml/2017/richdata2" ref="A46:J56">
      <sortCondition ref="I1:I63"/>
    </sortState>
  </autoFilter>
  <mergeCells count="1">
    <mergeCell ref="B65:K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Source(s)</vt:lpstr>
      <vt:lpstr>Sink(s)</vt:lpstr>
      <vt:lpstr>Pipe(s)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JnK 60</dc:creator>
  <cp:lastModifiedBy>PAR EVALUADOR 1</cp:lastModifiedBy>
  <dcterms:created xsi:type="dcterms:W3CDTF">2015-06-05T18:17:20Z</dcterms:created>
  <dcterms:modified xsi:type="dcterms:W3CDTF">2025-11-24T13:20:11Z</dcterms:modified>
</cp:coreProperties>
</file>