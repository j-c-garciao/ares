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9e4ce3cf3cb4827/Documentos/GitHub/ares/Examples/Example8/DataSets/1.-Hypothetical/"/>
    </mc:Choice>
  </mc:AlternateContent>
  <xr:revisionPtr revIDLastSave="84" documentId="13_ncr:1_{A59C2D5D-DEF5-4146-B631-E79061B32393}" xr6:coauthVersionLast="47" xr6:coauthVersionMax="47" xr10:uidLastSave="{70B53DC3-F93D-41FD-8675-B617D0D167ED}"/>
  <bookViews>
    <workbookView xWindow="-110" yWindow="-110" windowWidth="19420" windowHeight="10300" activeTab="2" xr2:uid="{00000000-000D-0000-FFFF-FFFF00000000}"/>
  </bookViews>
  <sheets>
    <sheet name="Source(s)" sheetId="1" r:id="rId1"/>
    <sheet name="Sink(s)" sheetId="2" r:id="rId2"/>
    <sheet name="Pipe(s)" sheetId="3" r:id="rId3"/>
  </sheets>
  <definedNames>
    <definedName name="_xlnm._FilterDatabase" localSheetId="2" hidden="1">'Pipe(s)'!$A$1:$G$18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" l="1"/>
  <c r="F13" i="3"/>
  <c r="F12" i="3"/>
  <c r="F9" i="3"/>
  <c r="F4" i="3"/>
  <c r="F10" i="3"/>
  <c r="F16" i="3"/>
  <c r="F6" i="3"/>
  <c r="F5" i="3"/>
  <c r="F15" i="3"/>
  <c r="F7" i="3"/>
  <c r="F3" i="3"/>
  <c r="F8" i="3"/>
  <c r="F11" i="3"/>
  <c r="F2" i="3"/>
</calcChain>
</file>

<file path=xl/sharedStrings.xml><?xml version="1.0" encoding="utf-8"?>
<sst xmlns="http://schemas.openxmlformats.org/spreadsheetml/2006/main" count="65" uniqueCount="40">
  <si>
    <t>Node(s)</t>
  </si>
  <si>
    <t>From(i)</t>
  </si>
  <si>
    <t>To(i)</t>
  </si>
  <si>
    <t>Q</t>
  </si>
  <si>
    <t>n</t>
  </si>
  <si>
    <t>S</t>
  </si>
  <si>
    <t>P1</t>
  </si>
  <si>
    <t>P3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</si>
  <si>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</si>
  <si>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</si>
  <si>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</si>
  <si>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</si>
  <si>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</si>
  <si>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</si>
  <si>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</si>
  <si>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</si>
  <si>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</si>
  <si>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</si>
  <si>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P2</t>
  </si>
  <si>
    <t>P4</t>
  </si>
  <si>
    <t>PIPE</t>
  </si>
  <si>
    <t>P15</t>
  </si>
  <si>
    <t>⌀ (m)</t>
  </si>
  <si>
    <t>A1</t>
  </si>
  <si>
    <t>A2</t>
  </si>
  <si>
    <t>A3</t>
  </si>
  <si>
    <t>RD1</t>
  </si>
  <si>
    <t>B1</t>
  </si>
  <si>
    <t>B2</t>
  </si>
  <si>
    <t>B5</t>
  </si>
  <si>
    <t>B3</t>
  </si>
  <si>
    <t>B4</t>
  </si>
  <si>
    <t>RD2</t>
  </si>
  <si>
    <t>WwTP</t>
  </si>
  <si>
    <t>MH1</t>
  </si>
  <si>
    <t>MH2</t>
  </si>
  <si>
    <t>MH3</t>
  </si>
  <si>
    <t>MH4</t>
  </si>
  <si>
    <t>MH5</t>
  </si>
  <si>
    <t>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</si>
</sst>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B12" sqref="B1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23</v>
      </c>
    </row>
    <row r="3" spans="1:1" x14ac:dyDescent="0.35">
      <c r="A3" t="s">
        <v>24</v>
      </c>
    </row>
    <row r="4" spans="1:1" x14ac:dyDescent="0.35">
      <c r="A4" t="s">
        <v>25</v>
      </c>
    </row>
    <row r="5" spans="1:1" x14ac:dyDescent="0.35">
      <c r="A5" t="s">
        <v>27</v>
      </c>
    </row>
    <row r="6" spans="1:1" x14ac:dyDescent="0.35">
      <c r="A6" t="s">
        <v>28</v>
      </c>
    </row>
    <row r="7" spans="1:1" x14ac:dyDescent="0.35">
      <c r="A7" t="s">
        <v>30</v>
      </c>
    </row>
    <row r="8" spans="1:1" x14ac:dyDescent="0.35">
      <c r="A8" t="s">
        <v>31</v>
      </c>
    </row>
    <row r="9" spans="1:1" x14ac:dyDescent="0.35">
      <c r="A9" t="s">
        <v>29</v>
      </c>
    </row>
    <row r="10" spans="1:1" x14ac:dyDescent="0.35">
      <c r="A10" t="s">
        <v>26</v>
      </c>
    </row>
    <row r="11" spans="1:1" x14ac:dyDescent="0.35">
      <c r="A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8A44-C4E3-4453-9CCA-9D3FD5C9352F}">
  <dimension ref="A1:A2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A5A2-BEB6-447D-BB27-5088DBA40EEB}">
  <dimension ref="A1:G18"/>
  <sheetViews>
    <sheetView tabSelected="1" workbookViewId="0">
      <pane xSplit="10000" topLeftCell="K1"/>
      <selection activeCell="A18" sqref="A18:XFD18"/>
      <selection pane="topRight" activeCell="K4" sqref="K4"/>
    </sheetView>
  </sheetViews>
  <sheetFormatPr defaultRowHeight="14.5" x14ac:dyDescent="0.35"/>
  <cols>
    <col min="1" max="2" width="8.7265625" style="2"/>
  </cols>
  <sheetData>
    <row r="1" spans="1:7" x14ac:dyDescent="0.35">
      <c r="A1" s="2" t="s">
        <v>1</v>
      </c>
      <c r="B1" s="2" t="s">
        <v>2</v>
      </c>
      <c r="C1" t="s">
        <v>22</v>
      </c>
      <c r="D1" t="s">
        <v>4</v>
      </c>
      <c r="E1" t="s">
        <v>5</v>
      </c>
      <c r="F1" s="1" t="s">
        <v>3</v>
      </c>
      <c r="G1" t="s">
        <v>20</v>
      </c>
    </row>
    <row r="2" spans="1:7" x14ac:dyDescent="0.35">
      <c r="A2" s="2" t="s">
        <v>23</v>
      </c>
      <c r="B2" s="2" t="s">
        <v>34</v>
      </c>
      <c r="C2">
        <v>0.5</v>
      </c>
      <c r="D2">
        <v>1.4999999999999999E-2</v>
      </c>
      <c r="E2">
        <v>0.01</v>
      </c>
      <c r="F2" s="3">
        <f t="shared" ref="F2:F16" si="0">(1/D2) * (PI()*(C2^2)/4) * ((C2/4)^(2/3)) * (E2^(1/2))</f>
        <v>0.32724923474893691</v>
      </c>
      <c r="G2" t="s">
        <v>6</v>
      </c>
    </row>
    <row r="3" spans="1:7" x14ac:dyDescent="0.35">
      <c r="A3" s="2" t="s">
        <v>24</v>
      </c>
      <c r="B3" s="2" t="s">
        <v>34</v>
      </c>
      <c r="C3">
        <v>0.5</v>
      </c>
      <c r="D3">
        <v>1.4999999999999999E-2</v>
      </c>
      <c r="E3">
        <v>0.01</v>
      </c>
      <c r="F3" s="3">
        <f t="shared" si="0"/>
        <v>0.32724923474893691</v>
      </c>
      <c r="G3" t="s">
        <v>18</v>
      </c>
    </row>
    <row r="4" spans="1:7" x14ac:dyDescent="0.35">
      <c r="A4" s="2" t="s">
        <v>34</v>
      </c>
      <c r="B4" s="2" t="s">
        <v>35</v>
      </c>
      <c r="C4">
        <v>0.5</v>
      </c>
      <c r="D4">
        <v>1.4999999999999999E-2</v>
      </c>
      <c r="E4">
        <v>0.01</v>
      </c>
      <c r="F4" s="3">
        <f t="shared" si="0"/>
        <v>0.32724923474893691</v>
      </c>
      <c r="G4" t="s">
        <v>7</v>
      </c>
    </row>
    <row r="5" spans="1:7" x14ac:dyDescent="0.35">
      <c r="A5" s="2" t="s">
        <v>25</v>
      </c>
      <c r="B5" s="2" t="s">
        <v>35</v>
      </c>
      <c r="C5">
        <v>0.5</v>
      </c>
      <c r="D5">
        <v>1.4999999999999999E-2</v>
      </c>
      <c r="E5">
        <v>0.01</v>
      </c>
      <c r="F5" s="3">
        <f t="shared" si="0"/>
        <v>0.32724923474893691</v>
      </c>
      <c r="G5" t="s">
        <v>19</v>
      </c>
    </row>
    <row r="6" spans="1:7" x14ac:dyDescent="0.35">
      <c r="A6" s="2" t="s">
        <v>35</v>
      </c>
      <c r="B6" s="2" t="s">
        <v>33</v>
      </c>
      <c r="C6">
        <v>0.8</v>
      </c>
      <c r="D6">
        <v>1.4999999999999999E-2</v>
      </c>
      <c r="E6">
        <v>0.01</v>
      </c>
      <c r="F6" s="3">
        <f t="shared" si="0"/>
        <v>1.1460368793375497</v>
      </c>
      <c r="G6" t="s">
        <v>8</v>
      </c>
    </row>
    <row r="7" spans="1:7" x14ac:dyDescent="0.35">
      <c r="A7" s="2" t="s">
        <v>26</v>
      </c>
      <c r="B7" s="2" t="s">
        <v>33</v>
      </c>
      <c r="C7">
        <v>0.3</v>
      </c>
      <c r="D7">
        <v>1.4999999999999999E-2</v>
      </c>
      <c r="E7">
        <v>0.01</v>
      </c>
      <c r="F7" s="3">
        <f t="shared" si="0"/>
        <v>8.3807324062415312E-2</v>
      </c>
      <c r="G7" t="s">
        <v>9</v>
      </c>
    </row>
    <row r="8" spans="1:7" x14ac:dyDescent="0.35">
      <c r="A8" s="2" t="s">
        <v>27</v>
      </c>
      <c r="B8" s="2" t="s">
        <v>36</v>
      </c>
      <c r="C8">
        <v>0.5</v>
      </c>
      <c r="D8">
        <v>1.4999999999999999E-2</v>
      </c>
      <c r="E8">
        <v>0.01</v>
      </c>
      <c r="F8" s="3">
        <f t="shared" si="0"/>
        <v>0.32724923474893691</v>
      </c>
      <c r="G8" t="s">
        <v>10</v>
      </c>
    </row>
    <row r="9" spans="1:7" x14ac:dyDescent="0.35">
      <c r="A9" s="2" t="s">
        <v>28</v>
      </c>
      <c r="B9" s="2" t="s">
        <v>36</v>
      </c>
      <c r="C9">
        <v>0.5</v>
      </c>
      <c r="D9">
        <v>1.4999999999999999E-2</v>
      </c>
      <c r="E9">
        <v>0.01</v>
      </c>
      <c r="F9" s="3">
        <f t="shared" si="0"/>
        <v>0.32724923474893691</v>
      </c>
      <c r="G9" t="s">
        <v>11</v>
      </c>
    </row>
    <row r="10" spans="1:7" x14ac:dyDescent="0.35">
      <c r="A10" s="2" t="s">
        <v>39</v>
      </c>
      <c r="B10" s="2" t="s">
        <v>37</v>
      </c>
      <c r="C10">
        <v>0.5</v>
      </c>
      <c r="D10">
        <v>1.4999999999999999E-2</v>
      </c>
      <c r="E10">
        <v>0.01</v>
      </c>
      <c r="F10" s="3">
        <f t="shared" si="0"/>
        <v>0.32724923474893691</v>
      </c>
      <c r="G10" t="s">
        <v>12</v>
      </c>
    </row>
    <row r="11" spans="1:7" x14ac:dyDescent="0.35">
      <c r="A11" s="2" t="s">
        <v>29</v>
      </c>
      <c r="B11" s="2" t="s">
        <v>37</v>
      </c>
      <c r="C11">
        <v>0.5</v>
      </c>
      <c r="D11">
        <v>1.4999999999999999E-2</v>
      </c>
      <c r="E11">
        <v>0.01</v>
      </c>
      <c r="F11" s="3">
        <f t="shared" si="0"/>
        <v>0.32724923474893691</v>
      </c>
      <c r="G11" t="s">
        <v>13</v>
      </c>
    </row>
    <row r="12" spans="1:7" x14ac:dyDescent="0.35">
      <c r="A12" s="2" t="s">
        <v>30</v>
      </c>
      <c r="B12" s="2" t="s">
        <v>38</v>
      </c>
      <c r="C12">
        <v>0.5</v>
      </c>
      <c r="D12">
        <v>1.4999999999999999E-2</v>
      </c>
      <c r="E12">
        <v>0.01</v>
      </c>
      <c r="F12" s="3">
        <f t="shared" si="0"/>
        <v>0.32724923474893691</v>
      </c>
      <c r="G12" t="s">
        <v>14</v>
      </c>
    </row>
    <row r="13" spans="1:7" x14ac:dyDescent="0.35">
      <c r="A13" s="2" t="s">
        <v>31</v>
      </c>
      <c r="B13" s="2" t="s">
        <v>38</v>
      </c>
      <c r="C13">
        <v>0.5</v>
      </c>
      <c r="D13">
        <v>1.4999999999999999E-2</v>
      </c>
      <c r="E13">
        <v>0.01</v>
      </c>
      <c r="F13" s="3">
        <f t="shared" si="0"/>
        <v>0.32724923474893691</v>
      </c>
      <c r="G13" t="s">
        <v>15</v>
      </c>
    </row>
    <row r="14" spans="1:7" x14ac:dyDescent="0.35">
      <c r="A14" s="2" t="s">
        <v>37</v>
      </c>
      <c r="B14" s="2" t="s">
        <v>33</v>
      </c>
      <c r="C14">
        <v>0.8</v>
      </c>
      <c r="D14">
        <v>1.4999999999999999E-2</v>
      </c>
      <c r="E14">
        <v>0.01</v>
      </c>
      <c r="F14" s="3">
        <f t="shared" si="0"/>
        <v>1.1460368793375497</v>
      </c>
      <c r="G14" t="s">
        <v>16</v>
      </c>
    </row>
    <row r="15" spans="1:7" x14ac:dyDescent="0.35">
      <c r="A15" s="2" t="s">
        <v>38</v>
      </c>
      <c r="B15" s="2" t="s">
        <v>33</v>
      </c>
      <c r="C15">
        <v>0.8</v>
      </c>
      <c r="D15">
        <v>1.4999999999999999E-2</v>
      </c>
      <c r="E15">
        <v>0.01</v>
      </c>
      <c r="F15" s="3">
        <f t="shared" si="0"/>
        <v>1.1460368793375497</v>
      </c>
      <c r="G15" t="s">
        <v>17</v>
      </c>
    </row>
    <row r="16" spans="1:7" x14ac:dyDescent="0.35">
      <c r="A16" s="2" t="s">
        <v>32</v>
      </c>
      <c r="B16" s="2" t="s">
        <v>33</v>
      </c>
      <c r="C16">
        <v>0.3</v>
      </c>
      <c r="D16">
        <v>1.4999999999999999E-2</v>
      </c>
      <c r="E16">
        <v>0.01</v>
      </c>
      <c r="F16" s="3">
        <f t="shared" si="0"/>
        <v>8.3807324062415312E-2</v>
      </c>
      <c r="G16" t="s">
        <v>21</v>
      </c>
    </row>
    <row r="17" spans="6:6" x14ac:dyDescent="0.35">
      <c r="F17" s="3"/>
    </row>
    <row r="18" spans="6:6" x14ac:dyDescent="0.35">
      <c r="F18" s="3"/>
    </row>
  </sheetData>
  <autoFilter ref="A1:G18" xr:uid="{0099A5A2-BEB6-447D-BB27-5088DBA40EE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Source(s)</vt:lpstr>
      <vt:lpstr>Sink(s)</vt:lpstr>
      <vt:lpstr>Pipe(s)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JnK 60</dc:creator>
  <cp:lastModifiedBy>PAR EVALUADOR 1</cp:lastModifiedBy>
  <dcterms:created xsi:type="dcterms:W3CDTF">2015-06-05T18:17:20Z</dcterms:created>
  <dcterms:modified xsi:type="dcterms:W3CDTF">2025-11-24T13:36:29Z</dcterms:modified>
</cp:coreProperties>
</file>